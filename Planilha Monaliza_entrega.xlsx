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bf5a16cb54883b5/Área de Trabalho/Botcamp DIO e CAIXA/"/>
    </mc:Choice>
  </mc:AlternateContent>
  <xr:revisionPtr revIDLastSave="355" documentId="8_{CCB1A4DC-BE8A-4A51-8A5A-862F41EFE4D4}" xr6:coauthVersionLast="47" xr6:coauthVersionMax="47" xr10:uidLastSave="{44389160-98E9-4E3A-9F9F-81EC59908366}"/>
  <bookViews>
    <workbookView xWindow="-108" yWindow="-108" windowWidth="23256" windowHeight="12456" activeTab="2" xr2:uid="{00000000-000D-0000-FFFF-FFFF00000000}"/>
  </bookViews>
  <sheets>
    <sheet name="Dados" sheetId="1" r:id="rId1"/>
    <sheet name="Controller" sheetId="2" r:id="rId2"/>
    <sheet name="Dashboard" sheetId="3" r:id="rId3"/>
    <sheet name="Caixinha" sheetId="4" r:id="rId4"/>
  </sheets>
  <definedNames>
    <definedName name="SegmentaçãodeDados_MÊS">#N/A</definedName>
  </definedNames>
  <calcPr calcId="191028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<sst xmlns="http://schemas.openxmlformats.org/spreadsheetml/2006/main" count="258" uniqueCount="80">
  <si>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</si>
  <si>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</si>
  <si>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</si>
  <si>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</si>
  <si>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</si>
  <si>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</si>
  <si>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</si>
  <si>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</si>
  <si>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</si>
  <si>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</si>
  <si>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</si>
  <si>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</si>
  <si>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</si>
  <si>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</si>
  <si>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</si>
  <si>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</si>
  <si>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</si>
  <si>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</si>
  <si>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</si>
  <si>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</si>
  <si>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</si>
  <si>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</si>
  <si>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</si>
  <si>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</si>
  <si>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</si>
  <si>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</si>
  <si>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</si>
  <si>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</si>
  <si>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</si>
  <si>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</si>
  <si>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</si>
  <si>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</si>
  <si>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</si>
  <si>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</si>
  <si>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</si>
  <si>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</si>
  <si>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</si>
  <si>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</si>
  <si>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</si>
  <si>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</si>
  <si>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</si>
  <si>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</si>
  <si>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</si>
  <si>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</si>
  <si>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</si>
  <si>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</si>
  <si>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</si>
  <si>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</si>
  <si>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</si>
  <si>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</si>
  <si>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</si>
  <si>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</si>
  <si>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</si>
  <si>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</si>
  <si>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</si>
  <si>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</si>
  <si>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</si>
  <si>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</si>
  <si>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</si>
  <si>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</si>
  <si>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</si>
  <si>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</si>
  <si>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</si>
  <si>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</si>
  <si>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</si>
  <si>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DATA</t>
  </si>
  <si>
    <t>TIPO</t>
  </si>
  <si>
    <t>CATEGORIA</t>
  </si>
  <si>
    <t>DESCRIÇÃO</t>
  </si>
  <si>
    <t>VALOR</t>
  </si>
  <si>
    <t>OPERAÇÃO BANCÁRIA</t>
  </si>
  <si>
    <t>STATUS</t>
  </si>
  <si>
    <t>Rótulos de Linha</t>
  </si>
  <si>
    <t>Total Geral</t>
  </si>
  <si>
    <t>Soma de VALOR</t>
  </si>
  <si>
    <t>MÊS</t>
  </si>
  <si>
    <t>Data de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</si>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</sst>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4" borderId="0" xfId="0" applyFill="1"/>
    <xf numFmtId="14" fontId="0" fillId="0" borderId="0" xfId="0" applyNumberFormat="1"/>
    <xf numFmtId="44" fontId="0" fillId="4" borderId="0" xfId="1" applyFont="1" applyFill="1"/>
    <xf numFmtId="44" fontId="0" fillId="0" borderId="0" xfId="1" applyFont="1"/>
  </cellXfs>
  <cellStyles count="2">
    <cellStyle name="Moeda" xfId="1" builtinId="4"/>
    <cellStyle name="Normal" xfId="0" builtinId="0"/>
  </cellStyles>
  <dxfs count="14">
    <dxf>
      <font>
        <b/>
        <i val="0"/>
        <color theme="8" tint="-0.499984740745262"/>
      </font>
      <fill>
        <patternFill>
          <fgColor rgb="FF8EA9DB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8EA9DB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fgColor rgb="FF8EA9DB"/>
          <bgColor rgb="FF8EA9DB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numFmt numFmtId="1" formatCode="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2" defaultTableStyle="TableStyleMedium2" defaultPivotStyle="PivotStyleLight16">
    <tableStyle name="Meu estilo" pivot="0" table="0" count="10" xr9:uid="{1E04F4AC-4BED-42E9-9E69-38089B41EF4B}">
      <tableStyleElement type="wholeTable" dxfId="1"/>
      <tableStyleElement type="headerRow" dxfId="0"/>
    </tableStyle>
    <tableStyle name="Meu estilo 2" pivot="0" table="0" count="10" xr9:uid="{A5FF7002-57CE-41D1-835D-FC4D526AE6D3}">
      <tableStyleElement type="wholeTable" dxfId="3"/>
      <tableStyleElement type="headerRow" dxfId="2"/>
    </tableStyle>
  </tableStyles>
  <colors>
    <mruColors>
      <color rgb="FF8EA9DB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color rgb="FF002060"/>
          </font>
          <fill>
            <patternFill patternType="solid">
              <fgColor theme="4"/>
              <bgColor theme="0" tint="-0.1499679555650502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u estil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Meu estilo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Monaliza_entrega.xlsx]Controller!Tabela dinâmica2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Controller!$D$4:$D$6</c:f>
              <c:strCache>
                <c:ptCount val="2"/>
                <c:pt idx="0">
                  <c:v>Investimentos</c:v>
                </c:pt>
                <c:pt idx="1">
                  <c:v>Renda Fixa</c:v>
                </c:pt>
              </c:strCache>
            </c:strRef>
          </c:cat>
          <c:val>
            <c:numRef>
              <c:f>Controller!$E$4:$E$6</c:f>
              <c:numCache>
                <c:formatCode>_("R$"* #,##0.00_);_("R$"* \(#,##0.00\);_("R$"* "-"??_);_(@_)</c:formatCode>
                <c:ptCount val="2"/>
                <c:pt idx="0">
                  <c:v>800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E-47D1-B7A8-8F27E65E51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3612656"/>
        <c:axId val="483618416"/>
      </c:barChart>
      <c:catAx>
        <c:axId val="4836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3618416"/>
        <c:crosses val="autoZero"/>
        <c:auto val="1"/>
        <c:lblAlgn val="ctr"/>
        <c:lblOffset val="100"/>
        <c:noMultiLvlLbl val="0"/>
      </c:catAx>
      <c:valAx>
        <c:axId val="48361841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361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Monaliza_entrega.xlsx]Controller!Tabela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Controller!$A$4:$A$18</c:f>
              <c:strCache>
                <c:ptCount val="14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Domésticas</c:v>
                </c:pt>
                <c:pt idx="12">
                  <c:v>Vestuário</c:v>
                </c:pt>
                <c:pt idx="13">
                  <c:v>Viagem</c:v>
                </c:pt>
              </c:strCache>
            </c:strRef>
          </c:cat>
          <c:val>
            <c:numRef>
              <c:f>Controller!$B$4:$B$18</c:f>
              <c:numCache>
                <c:formatCode>_("R$"* #,##0.00_);_("R$"* \(#,##0.00\);_("R$"* "-"??_);_(@_)</c:formatCode>
                <c:ptCount val="14"/>
                <c:pt idx="0">
                  <c:v>550</c:v>
                </c:pt>
                <c:pt idx="1">
                  <c:v>80</c:v>
                </c:pt>
                <c:pt idx="2">
                  <c:v>400</c:v>
                </c:pt>
                <c:pt idx="3">
                  <c:v>1200</c:v>
                </c:pt>
                <c:pt idx="4">
                  <c:v>350</c:v>
                </c:pt>
                <c:pt idx="5">
                  <c:v>120</c:v>
                </c:pt>
                <c:pt idx="6">
                  <c:v>200</c:v>
                </c:pt>
                <c:pt idx="7">
                  <c:v>180</c:v>
                </c:pt>
                <c:pt idx="8">
                  <c:v>250</c:v>
                </c:pt>
                <c:pt idx="9">
                  <c:v>150</c:v>
                </c:pt>
                <c:pt idx="10">
                  <c:v>300</c:v>
                </c:pt>
                <c:pt idx="11">
                  <c:v>450</c:v>
                </c:pt>
                <c:pt idx="12">
                  <c:v>600</c:v>
                </c:pt>
                <c:pt idx="1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E-4F5E-B90E-A85C096ADD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851808"/>
        <c:axId val="79848928"/>
      </c:barChart>
      <c:catAx>
        <c:axId val="798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848928"/>
        <c:crosses val="autoZero"/>
        <c:auto val="1"/>
        <c:lblAlgn val="ctr"/>
        <c:lblOffset val="100"/>
        <c:noMultiLvlLbl val="0"/>
      </c:catAx>
      <c:valAx>
        <c:axId val="798489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98518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71379109526203E-2"/>
          <c:y val="2.6094408653463772E-2"/>
          <c:w val="0.91628614916286144"/>
          <c:h val="0.9739055913465362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52-47AB-8161-7F9F0011D97B}"/>
              </c:ext>
            </c:extLst>
          </c:dPt>
          <c:val>
            <c:numRef>
              <c:f>Caixinha!$C$5</c:f>
              <c:numCache>
                <c:formatCode>_("R$"* #,##0.00_);_("R$"* \(#,##0.00\);_("R$"* "-"??_);_(@_)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2-47AB-8161-7F9F0011D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6688736"/>
        <c:axId val="506687776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Caixinha!$C$4</c:f>
              <c:numCache>
                <c:formatCode>_("R$"* #,##0.00_);_("R$"* \(#,##0.00\);_("R$"* "-"??_);_(@_)</c:formatCode>
                <c:ptCount val="1"/>
                <c:pt idx="0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2-47AB-8161-7F9F0011D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537520"/>
        <c:axId val="568540400"/>
      </c:barChart>
      <c:catAx>
        <c:axId val="506688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6687776"/>
        <c:crosses val="autoZero"/>
        <c:auto val="1"/>
        <c:lblAlgn val="ctr"/>
        <c:lblOffset val="100"/>
        <c:noMultiLvlLbl val="0"/>
      </c:catAx>
      <c:valAx>
        <c:axId val="50668777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06688736"/>
        <c:crosses val="autoZero"/>
        <c:crossBetween val="between"/>
      </c:valAx>
      <c:valAx>
        <c:axId val="568540400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68537520"/>
        <c:crosses val="max"/>
        <c:crossBetween val="between"/>
      </c:valAx>
      <c:catAx>
        <c:axId val="568537520"/>
        <c:scaling>
          <c:orientation val="minMax"/>
        </c:scaling>
        <c:delete val="1"/>
        <c:axPos val="b"/>
        <c:majorTickMark val="out"/>
        <c:minorTickMark val="none"/>
        <c:tickLblPos val="nextTo"/>
        <c:crossAx val="568540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chart" Target="../charts/chart3.xml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image" Target="../media/image2.sv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57150</xdr:rowOff>
    </xdr:from>
    <xdr:to>
      <xdr:col>10</xdr:col>
      <xdr:colOff>295275</xdr:colOff>
      <xdr:row>24</xdr:row>
      <xdr:rowOff>95249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12FFC709-D2A2-AC7E-AD96-8CDFD2EF7681}"/>
            </a:ext>
          </a:extLst>
        </xdr:cNvPr>
        <xdr:cNvGrpSpPr/>
      </xdr:nvGrpSpPr>
      <xdr:grpSpPr>
        <a:xfrm>
          <a:off x="2457450" y="962025"/>
          <a:ext cx="5181600" cy="3476624"/>
          <a:chOff x="2705100" y="1143000"/>
          <a:chExt cx="5181600" cy="347662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E03595E-C220-A0D1-3186-87153FD2516B}"/>
              </a:ext>
            </a:extLst>
          </xdr:cNvPr>
          <xdr:cNvSpPr/>
        </xdr:nvSpPr>
        <xdr:spPr>
          <a:xfrm>
            <a:off x="2705100" y="1238249"/>
            <a:ext cx="5172075" cy="33813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DE2305C-F36E-4356-9CEE-5977A1B7FD97}"/>
              </a:ext>
            </a:extLst>
          </xdr:cNvPr>
          <xdr:cNvGraphicFramePr>
            <a:graphicFrameLocks/>
          </xdr:cNvGraphicFramePr>
        </xdr:nvGraphicFramePr>
        <xdr:xfrm>
          <a:off x="2962274" y="1981199"/>
          <a:ext cx="4581525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FC3B4C91-41A9-5247-BC16-B6624A44D51A}"/>
              </a:ext>
            </a:extLst>
          </xdr:cNvPr>
          <xdr:cNvSpPr/>
        </xdr:nvSpPr>
        <xdr:spPr>
          <a:xfrm>
            <a:off x="2705100" y="1143000"/>
            <a:ext cx="5181600" cy="762000"/>
          </a:xfrm>
          <a:prstGeom prst="round2SameRect">
            <a:avLst>
              <a:gd name="adj1" fmla="val 50000"/>
              <a:gd name="adj2" fmla="val 0"/>
            </a:avLst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kern="1200">
                <a:latin typeface="Segoe UI Light" panose="020B0502040204020203" pitchFamily="34" charset="0"/>
                <a:cs typeface="Segoe UI Light" panose="020B0502040204020203" pitchFamily="34" charset="0"/>
              </a:rPr>
              <a:t>                           ENTRADAS</a:t>
            </a:r>
          </a:p>
        </xdr:txBody>
      </xdr:sp>
    </xdr:grpSp>
    <xdr:clientData/>
  </xdr:twoCellAnchor>
  <xdr:twoCellAnchor>
    <xdr:from>
      <xdr:col>1</xdr:col>
      <xdr:colOff>600075</xdr:colOff>
      <xdr:row>26</xdr:row>
      <xdr:rowOff>142875</xdr:rowOff>
    </xdr:from>
    <xdr:to>
      <xdr:col>19</xdr:col>
      <xdr:colOff>295276</xdr:colOff>
      <xdr:row>50</xdr:row>
      <xdr:rowOff>38100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874F9A4-0342-C759-AD2C-AEF7EFFFB908}"/>
            </a:ext>
          </a:extLst>
        </xdr:cNvPr>
        <xdr:cNvGrpSpPr/>
      </xdr:nvGrpSpPr>
      <xdr:grpSpPr>
        <a:xfrm>
          <a:off x="2457450" y="4848225"/>
          <a:ext cx="10668001" cy="4238625"/>
          <a:chOff x="2628899" y="4752975"/>
          <a:chExt cx="10668001" cy="423862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C8BD947-86A1-4E2C-BF39-60538F09FE52}"/>
              </a:ext>
            </a:extLst>
          </xdr:cNvPr>
          <xdr:cNvSpPr/>
        </xdr:nvSpPr>
        <xdr:spPr>
          <a:xfrm>
            <a:off x="2628901" y="4895848"/>
            <a:ext cx="10658474" cy="4095752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F50C519-DFC5-4934-9EDB-5B4842920FCB}"/>
              </a:ext>
            </a:extLst>
          </xdr:cNvPr>
          <xdr:cNvGraphicFramePr>
            <a:graphicFrameLocks/>
          </xdr:cNvGraphicFramePr>
        </xdr:nvGraphicFramePr>
        <xdr:xfrm>
          <a:off x="3228976" y="5572124"/>
          <a:ext cx="9705974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63BABD75-7816-442A-B3E4-CA246BFD5936}"/>
              </a:ext>
            </a:extLst>
          </xdr:cNvPr>
          <xdr:cNvSpPr/>
        </xdr:nvSpPr>
        <xdr:spPr>
          <a:xfrm>
            <a:off x="2628899" y="4752975"/>
            <a:ext cx="10668001" cy="847725"/>
          </a:xfrm>
          <a:prstGeom prst="round2SameRect">
            <a:avLst>
              <a:gd name="adj1" fmla="val 50000"/>
              <a:gd name="adj2" fmla="val 0"/>
            </a:avLst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kern="1200">
                <a:latin typeface="Segoe UI Light" panose="020B0502040204020203" pitchFamily="34" charset="0"/>
                <a:cs typeface="Segoe UI Light" panose="020B0502040204020203" pitchFamily="34" charset="0"/>
              </a:rPr>
              <a:t>                                                                     SAÍDAS</a:t>
            </a:r>
          </a:p>
        </xdr:txBody>
      </xdr:sp>
    </xdr:grpSp>
    <xdr:clientData/>
  </xdr:twoCellAnchor>
  <xdr:twoCellAnchor editAs="oneCell">
    <xdr:from>
      <xdr:col>2</xdr:col>
      <xdr:colOff>216674</xdr:colOff>
      <xdr:row>27</xdr:row>
      <xdr:rowOff>47624</xdr:rowOff>
    </xdr:from>
    <xdr:to>
      <xdr:col>3</xdr:col>
      <xdr:colOff>245249</xdr:colOff>
      <xdr:row>31</xdr:row>
      <xdr:rowOff>19049</xdr:rowOff>
    </xdr:to>
    <xdr:pic>
      <xdr:nvPicPr>
        <xdr:cNvPr id="14" name="Gráfico 13" descr="Dinheiro voador com preenchimento sólido">
          <a:extLst>
            <a:ext uri="{FF2B5EF4-FFF2-40B4-BE49-F238E27FC236}">
              <a16:creationId xmlns:a16="http://schemas.microsoft.com/office/drawing/2014/main" id="{B25BC2B9-BF24-D04F-1E8F-45D40E7DE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683649" y="4933949"/>
          <a:ext cx="638175" cy="695325"/>
        </a:xfrm>
        <a:prstGeom prst="rect">
          <a:avLst/>
        </a:prstGeom>
      </xdr:spPr>
    </xdr:pic>
    <xdr:clientData/>
  </xdr:twoCellAnchor>
  <xdr:twoCellAnchor editAs="oneCell">
    <xdr:from>
      <xdr:col>2</xdr:col>
      <xdr:colOff>216674</xdr:colOff>
      <xdr:row>5</xdr:row>
      <xdr:rowOff>123781</xdr:rowOff>
    </xdr:from>
    <xdr:to>
      <xdr:col>3</xdr:col>
      <xdr:colOff>123825</xdr:colOff>
      <xdr:row>9</xdr:row>
      <xdr:rowOff>45225</xdr:rowOff>
    </xdr:to>
    <xdr:pic>
      <xdr:nvPicPr>
        <xdr:cNvPr id="16" name="Gráfico 15" descr="Registrar com preenchimento sólido">
          <a:extLst>
            <a:ext uri="{FF2B5EF4-FFF2-40B4-BE49-F238E27FC236}">
              <a16:creationId xmlns:a16="http://schemas.microsoft.com/office/drawing/2014/main" id="{63FED4D5-496E-A1C6-3C1C-10993F209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683649" y="1028656"/>
          <a:ext cx="516751" cy="6453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123825</xdr:rowOff>
    </xdr:from>
    <xdr:to>
      <xdr:col>0</xdr:col>
      <xdr:colOff>1828800</xdr:colOff>
      <xdr:row>17</xdr:row>
      <xdr:rowOff>70485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MÊS">
              <a:extLst>
                <a:ext uri="{FF2B5EF4-FFF2-40B4-BE49-F238E27FC236}">
                  <a16:creationId xmlns:a16="http://schemas.microsoft.com/office/drawing/2014/main" id="{FC465B1D-A267-450F-9AE3-90138ED511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52600"/>
              <a:ext cx="1828800" cy="139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523874</xdr:colOff>
      <xdr:row>0</xdr:row>
      <xdr:rowOff>76200</xdr:rowOff>
    </xdr:from>
    <xdr:to>
      <xdr:col>15</xdr:col>
      <xdr:colOff>504825</xdr:colOff>
      <xdr:row>4</xdr:row>
      <xdr:rowOff>9525</xdr:rowOff>
    </xdr:to>
    <xdr:sp macro="" textlink="">
      <xdr:nvSpPr>
        <xdr:cNvPr id="20" name="Retângulo: Cantos Superiores Arredondados 19">
          <a:extLst>
            <a:ext uri="{FF2B5EF4-FFF2-40B4-BE49-F238E27FC236}">
              <a16:creationId xmlns:a16="http://schemas.microsoft.com/office/drawing/2014/main" id="{281A13C7-9CA8-483A-8932-6AEED924A16D}"/>
            </a:ext>
          </a:extLst>
        </xdr:cNvPr>
        <xdr:cNvSpPr/>
      </xdr:nvSpPr>
      <xdr:spPr>
        <a:xfrm>
          <a:off x="5429249" y="76200"/>
          <a:ext cx="5467351" cy="657225"/>
        </a:xfrm>
        <a:prstGeom prst="round2SameRect">
          <a:avLst>
            <a:gd name="adj1" fmla="val 50000"/>
            <a:gd name="adj2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kern="1200">
              <a:latin typeface="Segoe UI Light" panose="020B0502040204020203" pitchFamily="34" charset="0"/>
              <a:cs typeface="Segoe UI Light" panose="020B0502040204020203" pitchFamily="34" charset="0"/>
            </a:rPr>
            <a:t>         ACOMPANHAMENTO</a:t>
          </a:r>
          <a:r>
            <a:rPr lang="pt-BR" sz="2000" kern="1200" baseline="0">
              <a:latin typeface="Segoe UI Light" panose="020B0502040204020203" pitchFamily="34" charset="0"/>
              <a:cs typeface="Segoe UI Light" panose="020B0502040204020203" pitchFamily="34" charset="0"/>
            </a:rPr>
            <a:t> FINANCEIRO</a:t>
          </a:r>
          <a:endParaRPr lang="pt-BR" sz="2000" kern="12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4</xdr:row>
      <xdr:rowOff>9524</xdr:rowOff>
    </xdr:from>
    <xdr:to>
      <xdr:col>0</xdr:col>
      <xdr:colOff>1838325</xdr:colOff>
      <xdr:row>7</xdr:row>
      <xdr:rowOff>180974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ECEC7AB6-D633-FFF5-8893-814A498B2A76}"/>
            </a:ext>
          </a:extLst>
        </xdr:cNvPr>
        <xdr:cNvSpPr/>
      </xdr:nvSpPr>
      <xdr:spPr>
        <a:xfrm>
          <a:off x="0" y="733424"/>
          <a:ext cx="1838325" cy="714375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b="1" kern="1200"/>
        </a:p>
        <a:p>
          <a:pPr algn="l"/>
          <a:r>
            <a:rPr lang="pt-BR" sz="1100" b="1" kern="1200"/>
            <a:t>        MONEY</a:t>
          </a:r>
          <a:r>
            <a:rPr lang="pt-BR" sz="1100" b="1" kern="1200" baseline="0"/>
            <a:t> APP</a:t>
          </a:r>
          <a:endParaRPr lang="pt-BR" sz="1100" b="1" kern="1200"/>
        </a:p>
      </xdr:txBody>
    </xdr:sp>
    <xdr:clientData/>
  </xdr:twoCellAnchor>
  <xdr:twoCellAnchor editAs="oneCell">
    <xdr:from>
      <xdr:col>0</xdr:col>
      <xdr:colOff>1247775</xdr:colOff>
      <xdr:row>4</xdr:row>
      <xdr:rowOff>47625</xdr:rowOff>
    </xdr:from>
    <xdr:to>
      <xdr:col>0</xdr:col>
      <xdr:colOff>1800225</xdr:colOff>
      <xdr:row>7</xdr:row>
      <xdr:rowOff>57150</xdr:rowOff>
    </xdr:to>
    <xdr:pic>
      <xdr:nvPicPr>
        <xdr:cNvPr id="23" name="Gráfico 22" descr="Dinheiro estrutura de tópicos">
          <a:extLst>
            <a:ext uri="{FF2B5EF4-FFF2-40B4-BE49-F238E27FC236}">
              <a16:creationId xmlns:a16="http://schemas.microsoft.com/office/drawing/2014/main" id="{6198D2A4-EF23-5395-2E83-7C4C3D80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47775" y="771525"/>
          <a:ext cx="552450" cy="5524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5</xdr:row>
      <xdr:rowOff>47625</xdr:rowOff>
    </xdr:from>
    <xdr:to>
      <xdr:col>19</xdr:col>
      <xdr:colOff>333375</xdr:colOff>
      <xdr:row>24</xdr:row>
      <xdr:rowOff>85724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F2F0A873-DBB4-4994-A42A-83B770647C4A}"/>
            </a:ext>
          </a:extLst>
        </xdr:cNvPr>
        <xdr:cNvGrpSpPr/>
      </xdr:nvGrpSpPr>
      <xdr:grpSpPr>
        <a:xfrm>
          <a:off x="7981950" y="952500"/>
          <a:ext cx="5181600" cy="3476624"/>
          <a:chOff x="2705100" y="1143000"/>
          <a:chExt cx="5181600" cy="3476624"/>
        </a:xfrm>
      </xdr:grpSpPr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D0D8C5C0-FB22-9064-4393-CF4163B93163}"/>
              </a:ext>
            </a:extLst>
          </xdr:cNvPr>
          <xdr:cNvSpPr/>
        </xdr:nvSpPr>
        <xdr:spPr>
          <a:xfrm>
            <a:off x="2705100" y="1238249"/>
            <a:ext cx="5172075" cy="338137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EA3FE4A3-8A30-02B4-D344-1B9F2B01881D}"/>
              </a:ext>
            </a:extLst>
          </xdr:cNvPr>
          <xdr:cNvSpPr/>
        </xdr:nvSpPr>
        <xdr:spPr>
          <a:xfrm>
            <a:off x="2705100" y="1143000"/>
            <a:ext cx="5181600" cy="762000"/>
          </a:xfrm>
          <a:prstGeom prst="round2SameRect">
            <a:avLst>
              <a:gd name="adj1" fmla="val 50000"/>
              <a:gd name="adj2" fmla="val 0"/>
            </a:avLst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000" kern="1200">
                <a:latin typeface="Segoe UI Light" panose="020B0502040204020203" pitchFamily="34" charset="0"/>
                <a:cs typeface="Segoe UI Light" panose="020B0502040204020203" pitchFamily="34" charset="0"/>
              </a:rPr>
              <a:t>                           ECONOMIAS</a:t>
            </a:r>
          </a:p>
        </xdr:txBody>
      </xdr:sp>
    </xdr:grpSp>
    <xdr:clientData/>
  </xdr:twoCellAnchor>
  <xdr:twoCellAnchor editAs="oneCell">
    <xdr:from>
      <xdr:col>11</xdr:col>
      <xdr:colOff>419100</xdr:colOff>
      <xdr:row>5</xdr:row>
      <xdr:rowOff>123825</xdr:rowOff>
    </xdr:from>
    <xdr:to>
      <xdr:col>12</xdr:col>
      <xdr:colOff>466725</xdr:colOff>
      <xdr:row>9</xdr:row>
      <xdr:rowOff>57150</xdr:rowOff>
    </xdr:to>
    <xdr:pic>
      <xdr:nvPicPr>
        <xdr:cNvPr id="30" name="Gráfico 29" descr="Cofrinho estrutura de tópicos">
          <a:extLst>
            <a:ext uri="{FF2B5EF4-FFF2-40B4-BE49-F238E27FC236}">
              <a16:creationId xmlns:a16="http://schemas.microsoft.com/office/drawing/2014/main" id="{A7E5F7A3-6BB4-EC28-C803-0F2B0128B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372475" y="1028700"/>
          <a:ext cx="657225" cy="657225"/>
        </a:xfrm>
        <a:prstGeom prst="rect">
          <a:avLst/>
        </a:prstGeom>
      </xdr:spPr>
    </xdr:pic>
    <xdr:clientData/>
  </xdr:twoCellAnchor>
  <xdr:twoCellAnchor>
    <xdr:from>
      <xdr:col>12</xdr:col>
      <xdr:colOff>142875</xdr:colOff>
      <xdr:row>9</xdr:row>
      <xdr:rowOff>85725</xdr:rowOff>
    </xdr:from>
    <xdr:to>
      <xdr:col>18</xdr:col>
      <xdr:colOff>104775</xdr:colOff>
      <xdr:row>23</xdr:row>
      <xdr:rowOff>66675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214DE1B-FDBE-42F6-A9F5-E1764C460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liza" refreshedDate="45670.357091087964" createdVersion="8" refreshedVersion="8" minRefreshableVersion="3" recordCount="44" xr:uid="{A84A8251-9550-4EE0-8F8E-26D3AC3AA950}">
  <cacheSource type="worksheet">
    <worksheetSource name="Tabela1_Mona"/>
  </cacheSource>
  <cacheFields count="8">
    <cacheField name="DATA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21186111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Salário mensal"/>
    <n v="5000"/>
    <s v="Transferência"/>
    <s v="Recebido"/>
  </r>
  <r>
    <x v="0"/>
    <x v="0"/>
    <x v="1"/>
    <x v="1"/>
    <s v="Compras no supermercado"/>
    <n v="550"/>
    <s v="Débito Automático"/>
    <s v="Pendente"/>
  </r>
  <r>
    <x v="1"/>
    <x v="0"/>
    <x v="1"/>
    <x v="2"/>
    <s v="Gasolina"/>
    <n v="300"/>
    <s v="Cartão de Crédito"/>
    <s v="Pago"/>
  </r>
  <r>
    <x v="2"/>
    <x v="0"/>
    <x v="1"/>
    <x v="3"/>
    <s v="Cinema"/>
    <n v="120"/>
    <s v="Cartão de Crédito"/>
    <s v="Pago"/>
  </r>
  <r>
    <x v="3"/>
    <x v="0"/>
    <x v="1"/>
    <x v="4"/>
    <s v="Consulta odontológica"/>
    <n v="250"/>
    <s v="Transferência"/>
    <s v="Pago"/>
  </r>
  <r>
    <x v="4"/>
    <x v="0"/>
    <x v="1"/>
    <x v="5"/>
    <s v="Material escolar"/>
    <n v="400"/>
    <s v="Débito Automático"/>
    <s v="Pendente"/>
  </r>
  <r>
    <x v="5"/>
    <x v="0"/>
    <x v="1"/>
    <x v="6"/>
    <s v="Compra de roupas de inverno"/>
    <n v="600"/>
    <s v="Cartão de Crédito"/>
    <s v="Pendente"/>
  </r>
  <r>
    <x v="6"/>
    <x v="0"/>
    <x v="0"/>
    <x v="7"/>
    <s v="Dividendos de ações"/>
    <n v="800"/>
    <s v="Transferência"/>
    <s v="Recebido"/>
  </r>
  <r>
    <x v="6"/>
    <x v="0"/>
    <x v="1"/>
    <x v="8"/>
    <s v="Limpeza do apartamento"/>
    <n v="150"/>
    <s v="Transferência"/>
    <s v="Pago"/>
  </r>
  <r>
    <x v="7"/>
    <x v="0"/>
    <x v="1"/>
    <x v="9"/>
    <s v="Compra de novo celular"/>
    <n v="1200"/>
    <s v="Cartão de Crédito"/>
    <s v="Pendente"/>
  </r>
  <r>
    <x v="8"/>
    <x v="0"/>
    <x v="1"/>
    <x v="10"/>
    <s v="Reparos domésticos"/>
    <n v="450"/>
    <s v="Débito Automático"/>
    <s v="Pago"/>
  </r>
  <r>
    <x v="9"/>
    <x v="0"/>
    <x v="1"/>
    <x v="11"/>
    <s v="Presente de aniversário"/>
    <n v="180"/>
    <s v="Transferência"/>
    <s v="Pendente"/>
  </r>
  <r>
    <x v="10"/>
    <x v="0"/>
    <x v="1"/>
    <x v="12"/>
    <s v="Corte de cabelo e barba"/>
    <n v="80"/>
    <s v="Débito Automático"/>
    <s v="Pago"/>
  </r>
  <r>
    <x v="11"/>
    <x v="0"/>
    <x v="1"/>
    <x v="13"/>
    <s v="Ração e petiscos para o cachorro"/>
    <n v="200"/>
    <s v="Débito Automático"/>
    <s v="Pago"/>
  </r>
  <r>
    <x v="12"/>
    <x v="0"/>
    <x v="1"/>
    <x v="14"/>
    <s v="Reserva de pousada"/>
    <n v="750"/>
    <s v="Transferência"/>
    <s v="Pendente"/>
  </r>
  <r>
    <x v="13"/>
    <x v="0"/>
    <x v="1"/>
    <x v="15"/>
    <s v="Jantar em restaurante francês"/>
    <n v="350"/>
    <s v="Cartão de Crédito"/>
    <s v="Pago"/>
  </r>
  <r>
    <x v="14"/>
    <x v="1"/>
    <x v="0"/>
    <x v="0"/>
    <s v="Salário mensal"/>
    <n v="5000"/>
    <s v="Transferência"/>
    <s v="Recebido"/>
  </r>
  <r>
    <x v="15"/>
    <x v="1"/>
    <x v="1"/>
    <x v="1"/>
    <s v="Compras no supermercado"/>
    <n v="450"/>
    <s v="Débito Automático"/>
    <s v="Pendente"/>
  </r>
  <r>
    <x v="16"/>
    <x v="1"/>
    <x v="1"/>
    <x v="2"/>
    <s v="Gasolina"/>
    <n v="300"/>
    <s v="Débito Automático"/>
    <s v="Pago"/>
  </r>
  <r>
    <x v="17"/>
    <x v="1"/>
    <x v="1"/>
    <x v="3"/>
    <s v="Cinema e jantar"/>
    <n v="200"/>
    <s v="Transferência"/>
    <s v="Pago"/>
  </r>
  <r>
    <x v="18"/>
    <x v="1"/>
    <x v="1"/>
    <x v="4"/>
    <s v="Plano de saúde"/>
    <n v="600"/>
    <s v="Débito Automático"/>
    <s v="Pendente"/>
  </r>
  <r>
    <x v="19"/>
    <x v="1"/>
    <x v="1"/>
    <x v="5"/>
    <s v="Material escolar"/>
    <n v="350"/>
    <s v="Transferência"/>
    <s v="Pago"/>
  </r>
  <r>
    <x v="20"/>
    <x v="1"/>
    <x v="1"/>
    <x v="6"/>
    <s v="Compra de roupas"/>
    <n v="500"/>
    <s v="Cartão de Crédito"/>
    <s v="Pendente"/>
  </r>
  <r>
    <x v="21"/>
    <x v="1"/>
    <x v="0"/>
    <x v="16"/>
    <s v="Pagamento por projeto freelancer"/>
    <n v="1200"/>
    <s v="Transferência"/>
    <s v="Recebido"/>
  </r>
  <r>
    <x v="21"/>
    <x v="1"/>
    <x v="1"/>
    <x v="8"/>
    <s v="Manutenção do veículo"/>
    <n v="800"/>
    <s v="Transferência"/>
    <s v="Pago"/>
  </r>
  <r>
    <x v="22"/>
    <x v="1"/>
    <x v="1"/>
    <x v="9"/>
    <s v="Compra de novo smartphone"/>
    <n v="1500"/>
    <s v="Cartão de Crédito"/>
    <s v="Pendente"/>
  </r>
  <r>
    <x v="23"/>
    <x v="1"/>
    <x v="1"/>
    <x v="17"/>
    <s v="Conta de energia elétrica"/>
    <n v="250"/>
    <s v="Débito Automático"/>
    <s v="Pago"/>
  </r>
  <r>
    <x v="24"/>
    <x v="1"/>
    <x v="1"/>
    <x v="11"/>
    <s v="Aniversário da mãe"/>
    <n v="400"/>
    <s v="Cartão de Crédito"/>
    <s v="Pendente"/>
  </r>
  <r>
    <x v="25"/>
    <x v="2"/>
    <x v="0"/>
    <x v="0"/>
    <s v="Salário mensal"/>
    <n v="5000"/>
    <s v="Transferência"/>
    <s v="Recebido"/>
  </r>
  <r>
    <x v="25"/>
    <x v="2"/>
    <x v="1"/>
    <x v="1"/>
    <s v="Compras no supermercado"/>
    <n v="600"/>
    <s v="Débito Automático"/>
    <s v="Pendente"/>
  </r>
  <r>
    <x v="26"/>
    <x v="2"/>
    <x v="1"/>
    <x v="2"/>
    <s v="Recarga de cartão de transporte"/>
    <n v="200"/>
    <s v="Cartão de Crédito"/>
    <s v="Pago"/>
  </r>
  <r>
    <x v="27"/>
    <x v="2"/>
    <x v="1"/>
    <x v="3"/>
    <s v="Ingressos para teatro"/>
    <n v="180"/>
    <s v="Transferência"/>
    <s v="Pago"/>
  </r>
  <r>
    <x v="28"/>
    <x v="2"/>
    <x v="1"/>
    <x v="4"/>
    <s v="Remédios de farmácia"/>
    <n v="120"/>
    <s v="Débito Automático"/>
    <s v="Pendente"/>
  </r>
  <r>
    <x v="29"/>
    <x v="2"/>
    <x v="1"/>
    <x v="5"/>
    <s v="Cursos online"/>
    <n v="350"/>
    <s v="Cartão de Crédito"/>
    <s v="Pendente"/>
  </r>
  <r>
    <x v="30"/>
    <x v="2"/>
    <x v="1"/>
    <x v="6"/>
    <s v="Roupas de primavera"/>
    <n v="400"/>
    <s v="Transferência"/>
    <s v="Pago"/>
  </r>
  <r>
    <x v="31"/>
    <x v="2"/>
    <x v="1"/>
    <x v="8"/>
    <s v="Manutenção da casa"/>
    <n v="450"/>
    <s v="Débito Automático"/>
    <s v="Pago"/>
  </r>
  <r>
    <x v="32"/>
    <x v="2"/>
    <x v="0"/>
    <x v="18"/>
    <s v="Venda de equipamentos eletrônicos"/>
    <n v="1500"/>
    <s v="Transferência"/>
    <s v="Recebido"/>
  </r>
  <r>
    <x v="32"/>
    <x v="2"/>
    <x v="1"/>
    <x v="9"/>
    <s v="Manutenção do computador"/>
    <n v="300"/>
    <s v="Cartão de Crédito"/>
    <s v="Pendente"/>
  </r>
  <r>
    <x v="33"/>
    <x v="2"/>
    <x v="1"/>
    <x v="10"/>
    <s v="Troca de móveis da cozinha"/>
    <n v="800"/>
    <s v="Transferência"/>
    <s v="Pago"/>
  </r>
  <r>
    <x v="34"/>
    <x v="2"/>
    <x v="1"/>
    <x v="11"/>
    <s v="Presentes para casamento"/>
    <n v="250"/>
    <s v="Cartão de Crédito"/>
    <s v="Pendente"/>
  </r>
  <r>
    <x v="35"/>
    <x v="2"/>
    <x v="1"/>
    <x v="13"/>
    <s v="Veterinário para o pet"/>
    <n v="150"/>
    <s v="Débito Automático"/>
    <s v="Pago"/>
  </r>
  <r>
    <x v="36"/>
    <x v="2"/>
    <x v="1"/>
    <x v="12"/>
    <s v="Salão de beleza"/>
    <n v="250"/>
    <s v="Transferência"/>
    <s v="Pendente"/>
  </r>
  <r>
    <x v="37"/>
    <x v="2"/>
    <x v="1"/>
    <x v="15"/>
    <s v="Jantar em restaurante italiano"/>
    <n v="220"/>
    <s v="Transferência"/>
    <s v="Pendente"/>
  </r>
  <r>
    <x v="38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E23AD-61B9-4E59-B782-5A1C23B799F3}" name="Tabela dinâ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:E6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3">
    <i>
      <x v="6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61C25-B838-4057-A49D-BB4BC4E55E3C}" name="Tabela dinâmica1" cacheId="1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A3:B18" firstHeaderRow="1" firstDataRow="1" firstDataCol="1" rowPageCount="1" colPageCount="1"/>
  <pivotFields count="8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h="1" x="1"/>
        <item h="1"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hier="-1"/>
  </pageFields>
  <dataFields count="1">
    <dataField name="Soma de VALOR" fld="5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6" name="DATA">
      <autoFilter ref="A1">
        <filterColumn colId="0">
          <customFilters and="1">
            <customFilter operator="greaterThanOrEqual" val="45505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88AC49DF-6411-40C4-BD99-5711DA0C0BA3}" sourceName="MÊS">
  <pivotTables>
    <pivotTable tabId="2" name="Tabela dinâmica1"/>
    <pivotTable tabId="2" name="Tabela dinâmica2"/>
  </pivotTables>
  <data>
    <tabular pivotCacheId="2118611102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FE4685A7-A3EE-47CB-959E-467BE96B025F}" cache="SegmentaçãodeDados_MÊS" caption="MÊS" style="Meu estil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911D2-1731-42B7-899E-0384FD1B8D8C}" name="Tabela1_Mona" displayName="Tabela1_Mona" ref="A1:H45" totalsRowShown="0" headerRowDxfId="7" dataDxfId="8">
  <autoFilter ref="A1:H45" xr:uid="{F16911D2-1731-42B7-899E-0384FD1B8D8C}"/>
  <tableColumns count="8">
    <tableColumn id="1" xr3:uid="{F7063EA1-33D4-442F-8490-F840B707AA0C}" name="DATA" dataDxfId="6"/>
    <tableColumn id="8" xr3:uid="{6DD757CB-8633-4BD1-BB62-8CEE55A0DA86}" name="MÊS" dataDxfId="4">
      <calculatedColumnFormula>MONTH(Tabela1_Mona[[#This Row],[DATA]])</calculatedColumnFormula>
    </tableColumn>
    <tableColumn id="2" xr3:uid="{7AD8434D-040B-4676-9EC6-BDB32C56B6C2}" name="TIPO" dataDxfId="5"/>
    <tableColumn id="3" xr3:uid="{48208B3F-F824-4E7F-84FC-091BEA20D324}" name="CATEGORIA" dataDxfId="13"/>
    <tableColumn id="4" xr3:uid="{FF0B23C0-15C2-42AE-8C7E-321679AFEF13}" name="DESCRIÇÃO" dataDxfId="12"/>
    <tableColumn id="5" xr3:uid="{4899E8A0-0D91-45B3-8B3E-0F1F6B88B91E}" name="VALOR" dataDxfId="11" dataCellStyle="Moeda"/>
    <tableColumn id="6" xr3:uid="{7AF37379-BE14-421E-A7C5-0FA57A620843}" name="OPERAÇÃO BANCÁRIA" dataDxfId="10"/>
    <tableColumn id="7" xr3:uid="{0518F356-69C7-438C-8354-455731BED351}" name="STATU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FD8C0-2B70-4FA6-A226-4F3BB6DB8895}" name="Tabela2" displayName="Tabela2" ref="B7:C16" totalsRowShown="0">
  <autoFilter ref="B7:C16" xr:uid="{87EFD8C0-2B70-4FA6-A226-4F3BB6DB8895}"/>
  <tableColumns count="2">
    <tableColumn id="1" xr3:uid="{A3D12242-67F2-44C4-964A-5B6456EEA9E9}" name="Data de lançamento"/>
    <tableColumn id="2" xr3:uid="{1E6A03BA-7AC5-41FD-8797-466678C64B17}" name="Depósito Reservado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/>
  </sheetViews>
  <sheetFormatPr defaultRowHeight="14.4" x14ac:dyDescent="0.3"/>
  <cols>
    <col min="1" max="1" width="23.6640625" style="1" customWidth="1"/>
    <col min="2" max="2" width="10.5546875" style="10" bestFit="1" customWidth="1"/>
    <col min="3" max="8" width="23.6640625" style="1" customWidth="1"/>
  </cols>
  <sheetData>
    <row r="1" spans="1:8" x14ac:dyDescent="0.3">
      <c r="A1" s="1" t="s">
        <v>65</v>
      </c>
      <c r="B1" s="10" t="s">
        <v>75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 ht="12" customHeight="1" x14ac:dyDescent="0.3">
      <c r="A2" s="2">
        <v>45505</v>
      </c>
      <c r="B2" s="11">
        <f>MONTH(Tabela1_Mona[[#This Row],[DATA]])</f>
        <v>8</v>
      </c>
      <c r="C2" s="3" t="s">
        <v>0</v>
      </c>
      <c r="D2" s="3" t="s">
        <v>1</v>
      </c>
      <c r="E2" s="3" t="s">
        <v>2</v>
      </c>
      <c r="F2" s="4">
        <v>5000</v>
      </c>
      <c r="G2" s="3" t="s">
        <v>3</v>
      </c>
      <c r="H2" s="3" t="s">
        <v>4</v>
      </c>
    </row>
    <row r="3" spans="1:8" ht="12" customHeight="1" x14ac:dyDescent="0.3">
      <c r="A3" s="2">
        <v>45505</v>
      </c>
      <c r="B3" s="11">
        <f>MONTH(Tabela1_Mona[[#This Row],[DATA]])</f>
        <v>8</v>
      </c>
      <c r="C3" s="3" t="s">
        <v>5</v>
      </c>
      <c r="D3" s="3" t="s">
        <v>6</v>
      </c>
      <c r="E3" s="3" t="s">
        <v>7</v>
      </c>
      <c r="F3" s="4">
        <v>550</v>
      </c>
      <c r="G3" s="3" t="s">
        <v>8</v>
      </c>
      <c r="H3" s="3" t="s">
        <v>9</v>
      </c>
    </row>
    <row r="4" spans="1:8" ht="12" customHeight="1" x14ac:dyDescent="0.3">
      <c r="A4" s="2">
        <v>45507</v>
      </c>
      <c r="B4" s="11">
        <f>MONTH(Tabela1_Mona[[#This Row],[DATA]])</f>
        <v>8</v>
      </c>
      <c r="C4" s="3" t="s">
        <v>5</v>
      </c>
      <c r="D4" s="3" t="s">
        <v>10</v>
      </c>
      <c r="E4" s="3" t="s">
        <v>11</v>
      </c>
      <c r="F4" s="4">
        <v>300</v>
      </c>
      <c r="G4" s="3" t="s">
        <v>12</v>
      </c>
      <c r="H4" s="3" t="s">
        <v>13</v>
      </c>
    </row>
    <row r="5" spans="1:8" ht="12" customHeight="1" x14ac:dyDescent="0.3">
      <c r="A5" s="2">
        <v>45509</v>
      </c>
      <c r="B5" s="11">
        <f>MONTH(Tabela1_Mona[[#This Row],[DATA]])</f>
        <v>8</v>
      </c>
      <c r="C5" s="3" t="s">
        <v>5</v>
      </c>
      <c r="D5" s="3" t="s">
        <v>14</v>
      </c>
      <c r="E5" s="3" t="s">
        <v>15</v>
      </c>
      <c r="F5" s="4">
        <v>120</v>
      </c>
      <c r="G5" s="3" t="s">
        <v>12</v>
      </c>
      <c r="H5" s="3" t="s">
        <v>13</v>
      </c>
    </row>
    <row r="6" spans="1:8" ht="12" customHeight="1" x14ac:dyDescent="0.3">
      <c r="A6" s="2">
        <v>45511</v>
      </c>
      <c r="B6" s="11">
        <f>MONTH(Tabela1_Mona[[#This Row],[DATA]])</f>
        <v>8</v>
      </c>
      <c r="C6" s="3" t="s">
        <v>5</v>
      </c>
      <c r="D6" s="3" t="s">
        <v>16</v>
      </c>
      <c r="E6" s="3" t="s">
        <v>17</v>
      </c>
      <c r="F6" s="4">
        <v>250</v>
      </c>
      <c r="G6" s="3" t="s">
        <v>3</v>
      </c>
      <c r="H6" s="3" t="s">
        <v>13</v>
      </c>
    </row>
    <row r="7" spans="1:8" ht="12" customHeight="1" x14ac:dyDescent="0.3">
      <c r="A7" s="2">
        <v>45514</v>
      </c>
      <c r="B7" s="11">
        <f>MONTH(Tabela1_Mona[[#This Row],[DATA]])</f>
        <v>8</v>
      </c>
      <c r="C7" s="3" t="s">
        <v>5</v>
      </c>
      <c r="D7" s="3" t="s">
        <v>18</v>
      </c>
      <c r="E7" s="3" t="s">
        <v>19</v>
      </c>
      <c r="F7" s="4">
        <v>400</v>
      </c>
      <c r="G7" s="3" t="s">
        <v>8</v>
      </c>
      <c r="H7" s="3" t="s">
        <v>9</v>
      </c>
    </row>
    <row r="8" spans="1:8" ht="12" customHeight="1" x14ac:dyDescent="0.3">
      <c r="A8" s="2">
        <v>45516</v>
      </c>
      <c r="B8" s="11">
        <f>MONTH(Tabela1_Mona[[#This Row],[DATA]])</f>
        <v>8</v>
      </c>
      <c r="C8" s="3" t="s">
        <v>5</v>
      </c>
      <c r="D8" s="3" t="s">
        <v>20</v>
      </c>
      <c r="E8" s="3" t="s">
        <v>21</v>
      </c>
      <c r="F8" s="4">
        <v>600</v>
      </c>
      <c r="G8" s="3" t="s">
        <v>12</v>
      </c>
      <c r="H8" s="3" t="s">
        <v>9</v>
      </c>
    </row>
    <row r="9" spans="1:8" ht="12" customHeight="1" x14ac:dyDescent="0.3">
      <c r="A9" s="2">
        <v>45519</v>
      </c>
      <c r="B9" s="11">
        <f>MONTH(Tabela1_Mona[[#This Row],[DATA]])</f>
        <v>8</v>
      </c>
      <c r="C9" s="3" t="s">
        <v>0</v>
      </c>
      <c r="D9" s="3" t="s">
        <v>22</v>
      </c>
      <c r="E9" s="3" t="s">
        <v>23</v>
      </c>
      <c r="F9" s="4">
        <v>800</v>
      </c>
      <c r="G9" s="3" t="s">
        <v>3</v>
      </c>
      <c r="H9" s="3" t="s">
        <v>4</v>
      </c>
    </row>
    <row r="10" spans="1:8" ht="12" customHeight="1" x14ac:dyDescent="0.3">
      <c r="A10" s="2">
        <v>45519</v>
      </c>
      <c r="B10" s="11">
        <f>MONTH(Tabela1_Mona[[#This Row],[DATA]])</f>
        <v>8</v>
      </c>
      <c r="C10" s="3" t="s">
        <v>5</v>
      </c>
      <c r="D10" s="3" t="s">
        <v>24</v>
      </c>
      <c r="E10" s="3" t="s">
        <v>25</v>
      </c>
      <c r="F10" s="4">
        <v>150</v>
      </c>
      <c r="G10" s="3" t="s">
        <v>3</v>
      </c>
      <c r="H10" s="3" t="s">
        <v>13</v>
      </c>
    </row>
    <row r="11" spans="1:8" ht="12" customHeight="1" x14ac:dyDescent="0.3">
      <c r="A11" s="2">
        <v>45522</v>
      </c>
      <c r="B11" s="11">
        <f>MONTH(Tabela1_Mona[[#This Row],[DATA]])</f>
        <v>8</v>
      </c>
      <c r="C11" s="3" t="s">
        <v>5</v>
      </c>
      <c r="D11" s="3" t="s">
        <v>26</v>
      </c>
      <c r="E11" s="3" t="s">
        <v>27</v>
      </c>
      <c r="F11" s="4">
        <v>1200</v>
      </c>
      <c r="G11" s="3" t="s">
        <v>12</v>
      </c>
      <c r="H11" s="3" t="s">
        <v>9</v>
      </c>
    </row>
    <row r="12" spans="1:8" ht="12" customHeight="1" x14ac:dyDescent="0.3">
      <c r="A12" s="2">
        <v>45524</v>
      </c>
      <c r="B12" s="11">
        <f>MONTH(Tabela1_Mona[[#This Row],[DATA]])</f>
        <v>8</v>
      </c>
      <c r="C12" s="3" t="s">
        <v>5</v>
      </c>
      <c r="D12" s="3" t="s">
        <v>28</v>
      </c>
      <c r="E12" s="3" t="s">
        <v>29</v>
      </c>
      <c r="F12" s="4">
        <v>450</v>
      </c>
      <c r="G12" s="3" t="s">
        <v>8</v>
      </c>
      <c r="H12" s="3" t="s">
        <v>13</v>
      </c>
    </row>
    <row r="13" spans="1:8" ht="12" customHeight="1" x14ac:dyDescent="0.3">
      <c r="A13" s="2">
        <v>45526</v>
      </c>
      <c r="B13" s="11">
        <f>MONTH(Tabela1_Mona[[#This Row],[DATA]])</f>
        <v>8</v>
      </c>
      <c r="C13" s="3" t="s">
        <v>5</v>
      </c>
      <c r="D13" s="3" t="s">
        <v>30</v>
      </c>
      <c r="E13" s="3" t="s">
        <v>31</v>
      </c>
      <c r="F13" s="4">
        <v>180</v>
      </c>
      <c r="G13" s="3" t="s">
        <v>3</v>
      </c>
      <c r="H13" s="3" t="s">
        <v>9</v>
      </c>
    </row>
    <row r="14" spans="1:8" ht="12" customHeight="1" x14ac:dyDescent="0.3">
      <c r="A14" s="2">
        <v>45528</v>
      </c>
      <c r="B14" s="11">
        <f>MONTH(Tabela1_Mona[[#This Row],[DATA]])</f>
        <v>8</v>
      </c>
      <c r="C14" s="3" t="s">
        <v>5</v>
      </c>
      <c r="D14" s="3" t="s">
        <v>32</v>
      </c>
      <c r="E14" s="3" t="s">
        <v>33</v>
      </c>
      <c r="F14" s="4">
        <v>80</v>
      </c>
      <c r="G14" s="3" t="s">
        <v>8</v>
      </c>
      <c r="H14" s="3" t="s">
        <v>13</v>
      </c>
    </row>
    <row r="15" spans="1:8" ht="12" customHeight="1" x14ac:dyDescent="0.3">
      <c r="A15" s="2">
        <v>45532</v>
      </c>
      <c r="B15" s="11">
        <f>MONTH(Tabela1_Mona[[#This Row],[DATA]])</f>
        <v>8</v>
      </c>
      <c r="C15" s="3" t="s">
        <v>5</v>
      </c>
      <c r="D15" s="3" t="s">
        <v>34</v>
      </c>
      <c r="E15" s="3" t="s">
        <v>35</v>
      </c>
      <c r="F15" s="4">
        <v>200</v>
      </c>
      <c r="G15" s="3" t="s">
        <v>8</v>
      </c>
      <c r="H15" s="3" t="s">
        <v>13</v>
      </c>
    </row>
    <row r="16" spans="1:8" ht="12" customHeight="1" x14ac:dyDescent="0.3">
      <c r="A16" s="2">
        <v>45534</v>
      </c>
      <c r="B16" s="11">
        <f>MONTH(Tabela1_Mona[[#This Row],[DATA]])</f>
        <v>8</v>
      </c>
      <c r="C16" s="3" t="s">
        <v>5</v>
      </c>
      <c r="D16" s="3" t="s">
        <v>36</v>
      </c>
      <c r="E16" s="3" t="s">
        <v>37</v>
      </c>
      <c r="F16" s="4">
        <v>750</v>
      </c>
      <c r="G16" s="3" t="s">
        <v>3</v>
      </c>
      <c r="H16" s="3" t="s">
        <v>9</v>
      </c>
    </row>
    <row r="17" spans="1:8" ht="12" customHeight="1" x14ac:dyDescent="0.3">
      <c r="A17" s="2">
        <v>45535</v>
      </c>
      <c r="B17" s="11">
        <f>MONTH(Tabela1_Mona[[#This Row],[DATA]])</f>
        <v>8</v>
      </c>
      <c r="C17" s="3" t="s">
        <v>5</v>
      </c>
      <c r="D17" s="3" t="s">
        <v>38</v>
      </c>
      <c r="E17" s="3" t="s">
        <v>39</v>
      </c>
      <c r="F17" s="4">
        <v>350</v>
      </c>
      <c r="G17" s="3" t="s">
        <v>12</v>
      </c>
      <c r="H17" s="3" t="s">
        <v>13</v>
      </c>
    </row>
    <row r="18" spans="1:8" ht="12" customHeight="1" x14ac:dyDescent="0.3">
      <c r="A18" s="2">
        <v>45536</v>
      </c>
      <c r="B18" s="11">
        <f>MONTH(Tabela1_Mona[[#This Row],[DATA]])</f>
        <v>9</v>
      </c>
      <c r="C18" s="3" t="s">
        <v>0</v>
      </c>
      <c r="D18" s="3" t="s">
        <v>1</v>
      </c>
      <c r="E18" s="3" t="s">
        <v>2</v>
      </c>
      <c r="F18" s="4">
        <v>5000</v>
      </c>
      <c r="G18" s="3" t="s">
        <v>3</v>
      </c>
      <c r="H18" s="3" t="s">
        <v>4</v>
      </c>
    </row>
    <row r="19" spans="1:8" ht="12" customHeight="1" x14ac:dyDescent="0.3">
      <c r="A19" s="2">
        <v>45537</v>
      </c>
      <c r="B19" s="11">
        <f>MONTH(Tabela1_Mona[[#This Row],[DATA]])</f>
        <v>9</v>
      </c>
      <c r="C19" s="3" t="s">
        <v>5</v>
      </c>
      <c r="D19" s="3" t="s">
        <v>6</v>
      </c>
      <c r="E19" s="4" t="s">
        <v>7</v>
      </c>
      <c r="F19" s="4">
        <v>450</v>
      </c>
      <c r="G19" s="3" t="s">
        <v>8</v>
      </c>
      <c r="H19" s="3" t="s">
        <v>9</v>
      </c>
    </row>
    <row r="20" spans="1:8" ht="12" customHeight="1" x14ac:dyDescent="0.3">
      <c r="A20" s="2">
        <v>45540</v>
      </c>
      <c r="B20" s="11">
        <f>MONTH(Tabela1_Mona[[#This Row],[DATA]])</f>
        <v>9</v>
      </c>
      <c r="C20" s="3" t="s">
        <v>5</v>
      </c>
      <c r="D20" s="3" t="s">
        <v>10</v>
      </c>
      <c r="E20" s="4" t="s">
        <v>11</v>
      </c>
      <c r="F20" s="4">
        <v>300</v>
      </c>
      <c r="G20" s="3" t="s">
        <v>8</v>
      </c>
      <c r="H20" s="3" t="s">
        <v>13</v>
      </c>
    </row>
    <row r="21" spans="1:8" ht="12" customHeight="1" x14ac:dyDescent="0.3">
      <c r="A21" s="2">
        <v>45543</v>
      </c>
      <c r="B21" s="11">
        <f>MONTH(Tabela1_Mona[[#This Row],[DATA]])</f>
        <v>9</v>
      </c>
      <c r="C21" s="3" t="s">
        <v>5</v>
      </c>
      <c r="D21" s="3" t="s">
        <v>14</v>
      </c>
      <c r="E21" s="4" t="s">
        <v>40</v>
      </c>
      <c r="F21" s="4">
        <v>200</v>
      </c>
      <c r="G21" s="3" t="s">
        <v>3</v>
      </c>
      <c r="H21" s="3" t="s">
        <v>13</v>
      </c>
    </row>
    <row r="22" spans="1:8" ht="12" customHeight="1" x14ac:dyDescent="0.3">
      <c r="A22" s="2">
        <v>45546</v>
      </c>
      <c r="B22" s="11">
        <f>MONTH(Tabela1_Mona[[#This Row],[DATA]])</f>
        <v>9</v>
      </c>
      <c r="C22" s="3" t="s">
        <v>5</v>
      </c>
      <c r="D22" s="3" t="s">
        <v>16</v>
      </c>
      <c r="E22" s="4" t="s">
        <v>41</v>
      </c>
      <c r="F22" s="4">
        <v>600</v>
      </c>
      <c r="G22" s="3" t="s">
        <v>8</v>
      </c>
      <c r="H22" s="3" t="s">
        <v>9</v>
      </c>
    </row>
    <row r="23" spans="1:8" ht="12" customHeight="1" x14ac:dyDescent="0.3">
      <c r="A23" s="2">
        <v>45549</v>
      </c>
      <c r="B23" s="11">
        <f>MONTH(Tabela1_Mona[[#This Row],[DATA]])</f>
        <v>9</v>
      </c>
      <c r="C23" s="3" t="s">
        <v>5</v>
      </c>
      <c r="D23" s="3" t="s">
        <v>18</v>
      </c>
      <c r="E23" s="4" t="s">
        <v>19</v>
      </c>
      <c r="F23" s="4">
        <v>350</v>
      </c>
      <c r="G23" s="3" t="s">
        <v>3</v>
      </c>
      <c r="H23" s="3" t="s">
        <v>13</v>
      </c>
    </row>
    <row r="24" spans="1:8" ht="12" customHeight="1" x14ac:dyDescent="0.3">
      <c r="A24" s="2">
        <v>45552</v>
      </c>
      <c r="B24" s="11">
        <f>MONTH(Tabela1_Mona[[#This Row],[DATA]])</f>
        <v>9</v>
      </c>
      <c r="C24" s="3" t="s">
        <v>5</v>
      </c>
      <c r="D24" s="3" t="s">
        <v>20</v>
      </c>
      <c r="E24" s="4" t="s">
        <v>42</v>
      </c>
      <c r="F24" s="4">
        <v>500</v>
      </c>
      <c r="G24" s="3" t="s">
        <v>12</v>
      </c>
      <c r="H24" s="3" t="s">
        <v>9</v>
      </c>
    </row>
    <row r="25" spans="1:8" ht="12" customHeight="1" x14ac:dyDescent="0.3">
      <c r="A25" s="2">
        <v>45555</v>
      </c>
      <c r="B25" s="11">
        <f>MONTH(Tabela1_Mona[[#This Row],[DATA]])</f>
        <v>9</v>
      </c>
      <c r="C25" s="3" t="s">
        <v>0</v>
      </c>
      <c r="D25" s="3" t="s">
        <v>43</v>
      </c>
      <c r="E25" s="3" t="s">
        <v>44</v>
      </c>
      <c r="F25" s="4">
        <v>1200</v>
      </c>
      <c r="G25" s="3" t="s">
        <v>3</v>
      </c>
      <c r="H25" s="3" t="s">
        <v>4</v>
      </c>
    </row>
    <row r="26" spans="1:8" ht="12" customHeight="1" x14ac:dyDescent="0.3">
      <c r="A26" s="2">
        <v>45555</v>
      </c>
      <c r="B26" s="11">
        <f>MONTH(Tabela1_Mona[[#This Row],[DATA]])</f>
        <v>9</v>
      </c>
      <c r="C26" s="3" t="s">
        <v>5</v>
      </c>
      <c r="D26" s="3" t="s">
        <v>24</v>
      </c>
      <c r="E26" s="4" t="s">
        <v>45</v>
      </c>
      <c r="F26" s="4">
        <v>800</v>
      </c>
      <c r="G26" s="3" t="s">
        <v>3</v>
      </c>
      <c r="H26" s="3" t="s">
        <v>13</v>
      </c>
    </row>
    <row r="27" spans="1:8" ht="12" customHeight="1" x14ac:dyDescent="0.3">
      <c r="A27" s="2">
        <v>45558</v>
      </c>
      <c r="B27" s="11">
        <f>MONTH(Tabela1_Mona[[#This Row],[DATA]])</f>
        <v>9</v>
      </c>
      <c r="C27" s="3" t="s">
        <v>5</v>
      </c>
      <c r="D27" s="3" t="s">
        <v>26</v>
      </c>
      <c r="E27" s="4" t="s">
        <v>46</v>
      </c>
      <c r="F27" s="4">
        <v>1500</v>
      </c>
      <c r="G27" s="3" t="s">
        <v>12</v>
      </c>
      <c r="H27" s="3" t="s">
        <v>9</v>
      </c>
    </row>
    <row r="28" spans="1:8" ht="12" customHeight="1" x14ac:dyDescent="0.3">
      <c r="A28" s="2">
        <v>45561</v>
      </c>
      <c r="B28" s="11">
        <f>MONTH(Tabela1_Mona[[#This Row],[DATA]])</f>
        <v>9</v>
      </c>
      <c r="C28" s="3" t="s">
        <v>5</v>
      </c>
      <c r="D28" s="3" t="s">
        <v>47</v>
      </c>
      <c r="E28" s="4" t="s">
        <v>48</v>
      </c>
      <c r="F28" s="4">
        <v>250</v>
      </c>
      <c r="G28" s="3" t="s">
        <v>8</v>
      </c>
      <c r="H28" s="3" t="s">
        <v>13</v>
      </c>
    </row>
    <row r="29" spans="1:8" ht="12" customHeight="1" x14ac:dyDescent="0.3">
      <c r="A29" s="2">
        <v>45564</v>
      </c>
      <c r="B29" s="11">
        <f>MONTH(Tabela1_Mona[[#This Row],[DATA]])</f>
        <v>9</v>
      </c>
      <c r="C29" s="3" t="s">
        <v>5</v>
      </c>
      <c r="D29" s="3" t="s">
        <v>30</v>
      </c>
      <c r="E29" s="4" t="s">
        <v>49</v>
      </c>
      <c r="F29" s="4">
        <v>400</v>
      </c>
      <c r="G29" s="3" t="s">
        <v>12</v>
      </c>
      <c r="H29" s="3" t="s">
        <v>9</v>
      </c>
    </row>
    <row r="30" spans="1:8" ht="12" customHeight="1" x14ac:dyDescent="0.3">
      <c r="A30" s="2">
        <v>45566</v>
      </c>
      <c r="B30" s="11">
        <f>MONTH(Tabela1_Mona[[#This Row],[DATA]])</f>
        <v>10</v>
      </c>
      <c r="C30" s="3" t="s">
        <v>0</v>
      </c>
      <c r="D30" s="3" t="s">
        <v>1</v>
      </c>
      <c r="E30" s="3" t="s">
        <v>2</v>
      </c>
      <c r="F30" s="4">
        <v>5000</v>
      </c>
      <c r="G30" s="3" t="s">
        <v>3</v>
      </c>
      <c r="H30" s="3" t="s">
        <v>4</v>
      </c>
    </row>
    <row r="31" spans="1:8" ht="12" customHeight="1" x14ac:dyDescent="0.3">
      <c r="A31" s="2">
        <v>45566</v>
      </c>
      <c r="B31" s="11">
        <f>MONTH(Tabela1_Mona[[#This Row],[DATA]])</f>
        <v>10</v>
      </c>
      <c r="C31" s="3" t="s">
        <v>5</v>
      </c>
      <c r="D31" s="3" t="s">
        <v>6</v>
      </c>
      <c r="E31" s="3" t="s">
        <v>7</v>
      </c>
      <c r="F31" s="4">
        <v>600</v>
      </c>
      <c r="G31" s="3" t="s">
        <v>8</v>
      </c>
      <c r="H31" s="3" t="s">
        <v>9</v>
      </c>
    </row>
    <row r="32" spans="1:8" ht="12" customHeight="1" x14ac:dyDescent="0.3">
      <c r="A32" s="2">
        <v>45568</v>
      </c>
      <c r="B32" s="11">
        <f>MONTH(Tabela1_Mona[[#This Row],[DATA]])</f>
        <v>10</v>
      </c>
      <c r="C32" s="3" t="s">
        <v>5</v>
      </c>
      <c r="D32" s="3" t="s">
        <v>10</v>
      </c>
      <c r="E32" s="3" t="s">
        <v>50</v>
      </c>
      <c r="F32" s="4">
        <v>200</v>
      </c>
      <c r="G32" s="3" t="s">
        <v>12</v>
      </c>
      <c r="H32" s="3" t="s">
        <v>13</v>
      </c>
    </row>
    <row r="33" spans="1:8" ht="12" customHeight="1" x14ac:dyDescent="0.3">
      <c r="A33" s="2">
        <v>45570</v>
      </c>
      <c r="B33" s="11">
        <f>MONTH(Tabela1_Mona[[#This Row],[DATA]])</f>
        <v>10</v>
      </c>
      <c r="C33" s="3" t="s">
        <v>5</v>
      </c>
      <c r="D33" s="3" t="s">
        <v>14</v>
      </c>
      <c r="E33" s="3" t="s">
        <v>51</v>
      </c>
      <c r="F33" s="4">
        <v>180</v>
      </c>
      <c r="G33" s="3" t="s">
        <v>3</v>
      </c>
      <c r="H33" s="3" t="s">
        <v>13</v>
      </c>
    </row>
    <row r="34" spans="1:8" ht="12" customHeight="1" x14ac:dyDescent="0.3">
      <c r="A34" s="2">
        <v>45573</v>
      </c>
      <c r="B34" s="11">
        <f>MONTH(Tabela1_Mona[[#This Row],[DATA]])</f>
        <v>10</v>
      </c>
      <c r="C34" s="3" t="s">
        <v>5</v>
      </c>
      <c r="D34" s="3" t="s">
        <v>16</v>
      </c>
      <c r="E34" s="3" t="s">
        <v>52</v>
      </c>
      <c r="F34" s="4">
        <v>120</v>
      </c>
      <c r="G34" s="3" t="s">
        <v>8</v>
      </c>
      <c r="H34" s="3" t="s">
        <v>9</v>
      </c>
    </row>
    <row r="35" spans="1:8" ht="12" customHeight="1" x14ac:dyDescent="0.3">
      <c r="A35" s="2">
        <v>45575</v>
      </c>
      <c r="B35" s="11">
        <f>MONTH(Tabela1_Mona[[#This Row],[DATA]])</f>
        <v>10</v>
      </c>
      <c r="C35" s="3" t="s">
        <v>5</v>
      </c>
      <c r="D35" s="3" t="s">
        <v>18</v>
      </c>
      <c r="E35" s="3" t="s">
        <v>53</v>
      </c>
      <c r="F35" s="4">
        <v>350</v>
      </c>
      <c r="G35" s="3" t="s">
        <v>12</v>
      </c>
      <c r="H35" s="3" t="s">
        <v>9</v>
      </c>
    </row>
    <row r="36" spans="1:8" ht="12" customHeight="1" x14ac:dyDescent="0.3">
      <c r="A36" s="2">
        <v>45578</v>
      </c>
      <c r="B36" s="11">
        <f>MONTH(Tabela1_Mona[[#This Row],[DATA]])</f>
        <v>10</v>
      </c>
      <c r="C36" s="3" t="s">
        <v>5</v>
      </c>
      <c r="D36" s="3" t="s">
        <v>20</v>
      </c>
      <c r="E36" s="3" t="s">
        <v>54</v>
      </c>
      <c r="F36" s="4">
        <v>400</v>
      </c>
      <c r="G36" s="3" t="s">
        <v>3</v>
      </c>
      <c r="H36" s="3" t="s">
        <v>13</v>
      </c>
    </row>
    <row r="37" spans="1:8" ht="12" customHeight="1" x14ac:dyDescent="0.3">
      <c r="A37" s="2">
        <v>45580</v>
      </c>
      <c r="B37" s="11">
        <f>MONTH(Tabela1_Mona[[#This Row],[DATA]])</f>
        <v>10</v>
      </c>
      <c r="C37" s="3" t="s">
        <v>5</v>
      </c>
      <c r="D37" s="3" t="s">
        <v>24</v>
      </c>
      <c r="E37" s="3" t="s">
        <v>55</v>
      </c>
      <c r="F37" s="4">
        <v>450</v>
      </c>
      <c r="G37" s="3" t="s">
        <v>8</v>
      </c>
      <c r="H37" s="3" t="s">
        <v>13</v>
      </c>
    </row>
    <row r="38" spans="1:8" ht="12" customHeight="1" x14ac:dyDescent="0.3">
      <c r="A38" s="2">
        <v>45583</v>
      </c>
      <c r="B38" s="11">
        <f>MONTH(Tabela1_Mona[[#This Row],[DATA]])</f>
        <v>10</v>
      </c>
      <c r="C38" s="3" t="s">
        <v>0</v>
      </c>
      <c r="D38" s="3" t="s">
        <v>56</v>
      </c>
      <c r="E38" s="3" t="s">
        <v>57</v>
      </c>
      <c r="F38" s="4">
        <v>1500</v>
      </c>
      <c r="G38" s="3" t="s">
        <v>3</v>
      </c>
      <c r="H38" s="3" t="s">
        <v>4</v>
      </c>
    </row>
    <row r="39" spans="1:8" ht="12" customHeight="1" x14ac:dyDescent="0.3">
      <c r="A39" s="2">
        <v>45583</v>
      </c>
      <c r="B39" s="11">
        <f>MONTH(Tabela1_Mona[[#This Row],[DATA]])</f>
        <v>10</v>
      </c>
      <c r="C39" s="3" t="s">
        <v>5</v>
      </c>
      <c r="D39" s="3" t="s">
        <v>26</v>
      </c>
      <c r="E39" s="3" t="s">
        <v>58</v>
      </c>
      <c r="F39" s="4">
        <v>300</v>
      </c>
      <c r="G39" s="3" t="s">
        <v>12</v>
      </c>
      <c r="H39" s="3" t="s">
        <v>9</v>
      </c>
    </row>
    <row r="40" spans="1:8" ht="12" customHeight="1" x14ac:dyDescent="0.3">
      <c r="A40" s="2">
        <v>45585</v>
      </c>
      <c r="B40" s="11">
        <f>MONTH(Tabela1_Mona[[#This Row],[DATA]])</f>
        <v>10</v>
      </c>
      <c r="C40" s="3" t="s">
        <v>5</v>
      </c>
      <c r="D40" s="3" t="s">
        <v>28</v>
      </c>
      <c r="E40" s="3" t="s">
        <v>59</v>
      </c>
      <c r="F40" s="4">
        <v>800</v>
      </c>
      <c r="G40" s="3" t="s">
        <v>3</v>
      </c>
      <c r="H40" s="3" t="s">
        <v>13</v>
      </c>
    </row>
    <row r="41" spans="1:8" ht="12" customHeight="1" x14ac:dyDescent="0.3">
      <c r="A41" s="2">
        <v>45587</v>
      </c>
      <c r="B41" s="11">
        <f>MONTH(Tabela1_Mona[[#This Row],[DATA]])</f>
        <v>10</v>
      </c>
      <c r="C41" s="3" t="s">
        <v>5</v>
      </c>
      <c r="D41" s="3" t="s">
        <v>30</v>
      </c>
      <c r="E41" s="3" t="s">
        <v>60</v>
      </c>
      <c r="F41" s="4">
        <v>250</v>
      </c>
      <c r="G41" s="3" t="s">
        <v>12</v>
      </c>
      <c r="H41" s="3" t="s">
        <v>9</v>
      </c>
    </row>
    <row r="42" spans="1:8" ht="12" customHeight="1" x14ac:dyDescent="0.3">
      <c r="A42" s="2">
        <v>45589</v>
      </c>
      <c r="B42" s="11">
        <f>MONTH(Tabela1_Mona[[#This Row],[DATA]])</f>
        <v>10</v>
      </c>
      <c r="C42" s="3" t="s">
        <v>5</v>
      </c>
      <c r="D42" s="3" t="s">
        <v>34</v>
      </c>
      <c r="E42" s="3" t="s">
        <v>61</v>
      </c>
      <c r="F42" s="4">
        <v>150</v>
      </c>
      <c r="G42" s="3" t="s">
        <v>8</v>
      </c>
      <c r="H42" s="3" t="s">
        <v>13</v>
      </c>
    </row>
    <row r="43" spans="1:8" ht="12" customHeight="1" x14ac:dyDescent="0.3">
      <c r="A43" s="2">
        <v>45591</v>
      </c>
      <c r="B43" s="11">
        <f>MONTH(Tabela1_Mona[[#This Row],[DATA]])</f>
        <v>10</v>
      </c>
      <c r="C43" s="3" t="s">
        <v>5</v>
      </c>
      <c r="D43" s="3" t="s">
        <v>32</v>
      </c>
      <c r="E43" s="3" t="s">
        <v>62</v>
      </c>
      <c r="F43" s="4">
        <v>250</v>
      </c>
      <c r="G43" s="3" t="s">
        <v>3</v>
      </c>
      <c r="H43" s="3" t="s">
        <v>9</v>
      </c>
    </row>
    <row r="44" spans="1:8" ht="12" customHeight="1" x14ac:dyDescent="0.3">
      <c r="A44" s="2">
        <v>45595</v>
      </c>
      <c r="B44" s="11">
        <f>MONTH(Tabela1_Mona[[#This Row],[DATA]])</f>
        <v>10</v>
      </c>
      <c r="C44" s="3" t="s">
        <v>5</v>
      </c>
      <c r="D44" s="3" t="s">
        <v>38</v>
      </c>
      <c r="E44" s="3" t="s">
        <v>63</v>
      </c>
      <c r="F44" s="4">
        <v>220</v>
      </c>
      <c r="G44" s="3" t="s">
        <v>3</v>
      </c>
      <c r="H44" s="3" t="s">
        <v>9</v>
      </c>
    </row>
    <row r="45" spans="1:8" ht="12" customHeight="1" x14ac:dyDescent="0.3">
      <c r="A45" s="2">
        <v>45596</v>
      </c>
      <c r="B45" s="11">
        <f>MONTH(Tabela1_Mona[[#This Row],[DATA]])</f>
        <v>10</v>
      </c>
      <c r="C45" s="3" t="s">
        <v>5</v>
      </c>
      <c r="D45" s="3" t="s">
        <v>36</v>
      </c>
      <c r="E45" s="3" t="s">
        <v>64</v>
      </c>
      <c r="F45" s="4">
        <v>500</v>
      </c>
      <c r="G45" s="3" t="s">
        <v>12</v>
      </c>
      <c r="H45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9D0B-7B38-4736-8F37-C3D1CB211F64}">
  <dimension ref="A1:E18"/>
  <sheetViews>
    <sheetView workbookViewId="0">
      <selection activeCell="A11" sqref="A11"/>
    </sheetView>
  </sheetViews>
  <sheetFormatPr defaultRowHeight="14.4" x14ac:dyDescent="0.3"/>
  <cols>
    <col min="1" max="1" width="19.21875" bestFit="1" customWidth="1"/>
    <col min="2" max="2" width="14.6640625" bestFit="1" customWidth="1"/>
    <col min="4" max="4" width="17.21875" bestFit="1" customWidth="1"/>
    <col min="5" max="5" width="14.6640625" bestFit="1" customWidth="1"/>
  </cols>
  <sheetData>
    <row r="1" spans="1:5" x14ac:dyDescent="0.3">
      <c r="A1" s="5" t="s">
        <v>66</v>
      </c>
      <c r="B1" t="s">
        <v>5</v>
      </c>
      <c r="D1" s="5" t="s">
        <v>66</v>
      </c>
      <c r="E1" t="s">
        <v>0</v>
      </c>
    </row>
    <row r="3" spans="1:5" x14ac:dyDescent="0.3">
      <c r="A3" s="5" t="s">
        <v>72</v>
      </c>
      <c r="B3" t="s">
        <v>74</v>
      </c>
      <c r="D3" s="5" t="s">
        <v>72</v>
      </c>
      <c r="E3" t="s">
        <v>74</v>
      </c>
    </row>
    <row r="4" spans="1:5" x14ac:dyDescent="0.3">
      <c r="A4" s="6" t="s">
        <v>6</v>
      </c>
      <c r="B4" s="7">
        <v>550</v>
      </c>
      <c r="D4" s="6" t="s">
        <v>22</v>
      </c>
      <c r="E4" s="7">
        <v>800</v>
      </c>
    </row>
    <row r="5" spans="1:5" x14ac:dyDescent="0.3">
      <c r="A5" s="6" t="s">
        <v>32</v>
      </c>
      <c r="B5" s="7">
        <v>80</v>
      </c>
      <c r="D5" s="6" t="s">
        <v>1</v>
      </c>
      <c r="E5" s="7">
        <v>5000</v>
      </c>
    </row>
    <row r="6" spans="1:5" x14ac:dyDescent="0.3">
      <c r="A6" s="6" t="s">
        <v>18</v>
      </c>
      <c r="B6" s="7">
        <v>400</v>
      </c>
      <c r="D6" s="6" t="s">
        <v>73</v>
      </c>
      <c r="E6" s="7">
        <v>5800</v>
      </c>
    </row>
    <row r="7" spans="1:5" x14ac:dyDescent="0.3">
      <c r="A7" s="6" t="s">
        <v>26</v>
      </c>
      <c r="B7" s="7">
        <v>1200</v>
      </c>
    </row>
    <row r="8" spans="1:5" x14ac:dyDescent="0.3">
      <c r="A8" s="6" t="s">
        <v>38</v>
      </c>
      <c r="B8" s="7">
        <v>350</v>
      </c>
    </row>
    <row r="9" spans="1:5" x14ac:dyDescent="0.3">
      <c r="A9" s="6" t="s">
        <v>14</v>
      </c>
      <c r="B9" s="7">
        <v>120</v>
      </c>
    </row>
    <row r="10" spans="1:5" x14ac:dyDescent="0.3">
      <c r="A10" s="6" t="s">
        <v>34</v>
      </c>
      <c r="B10" s="7">
        <v>200</v>
      </c>
    </row>
    <row r="11" spans="1:5" x14ac:dyDescent="0.3">
      <c r="A11" s="6" t="s">
        <v>30</v>
      </c>
      <c r="B11" s="7">
        <v>180</v>
      </c>
    </row>
    <row r="12" spans="1:5" x14ac:dyDescent="0.3">
      <c r="A12" s="6" t="s">
        <v>16</v>
      </c>
      <c r="B12" s="7">
        <v>250</v>
      </c>
    </row>
    <row r="13" spans="1:5" x14ac:dyDescent="0.3">
      <c r="A13" s="6" t="s">
        <v>24</v>
      </c>
      <c r="B13" s="7">
        <v>150</v>
      </c>
    </row>
    <row r="14" spans="1:5" x14ac:dyDescent="0.3">
      <c r="A14" s="6" t="s">
        <v>10</v>
      </c>
      <c r="B14" s="7">
        <v>300</v>
      </c>
    </row>
    <row r="15" spans="1:5" x14ac:dyDescent="0.3">
      <c r="A15" s="6" t="s">
        <v>28</v>
      </c>
      <c r="B15" s="7">
        <v>450</v>
      </c>
    </row>
    <row r="16" spans="1:5" x14ac:dyDescent="0.3">
      <c r="A16" s="6" t="s">
        <v>20</v>
      </c>
      <c r="B16" s="7">
        <v>600</v>
      </c>
    </row>
    <row r="17" spans="1:2" x14ac:dyDescent="0.3">
      <c r="A17" s="6" t="s">
        <v>36</v>
      </c>
      <c r="B17" s="7">
        <v>750</v>
      </c>
    </row>
    <row r="18" spans="1:2" x14ac:dyDescent="0.3">
      <c r="A18" s="6" t="s">
        <v>73</v>
      </c>
      <c r="B18" s="7">
        <v>5580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F3D0-FE59-415A-9E95-EDD99B2B202E}">
  <dimension ref="A25:U25"/>
  <sheetViews>
    <sheetView tabSelected="1" zoomScale="80" zoomScaleNormal="80" workbookViewId="0">
      <selection activeCell="U5" sqref="U5"/>
    </sheetView>
  </sheetViews>
  <sheetFormatPr defaultColWidth="0" defaultRowHeight="14.4" x14ac:dyDescent="0.3"/>
  <cols>
    <col min="1" max="1" width="27.109375" style="8" customWidth="1"/>
    <col min="2" max="21" width="8.88671875" style="9" customWidth="1"/>
    <col min="22" max="16384" width="8.88671875" hidden="1"/>
  </cols>
  <sheetData>
    <row r="25" spans="1:1" x14ac:dyDescent="0.3">
      <c r="A25" s="1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A407-F17D-4F5F-8B7E-8D9B13052B83}">
  <dimension ref="B1:C16"/>
  <sheetViews>
    <sheetView workbookViewId="0">
      <selection activeCell="C4" sqref="C4"/>
    </sheetView>
  </sheetViews>
  <sheetFormatPr defaultRowHeight="14.4" x14ac:dyDescent="0.3"/>
  <cols>
    <col min="2" max="2" width="19.77734375" customWidth="1"/>
    <col min="3" max="3" width="19.5546875" style="15" customWidth="1"/>
  </cols>
  <sheetData>
    <row r="1" spans="2:3" s="12" customFormat="1" ht="27" customHeight="1" x14ac:dyDescent="0.3">
      <c r="C1" s="14"/>
    </row>
    <row r="2" spans="2:3" s="12" customFormat="1" ht="27" customHeight="1" x14ac:dyDescent="0.3">
      <c r="C2" s="14"/>
    </row>
    <row r="4" spans="2:3" x14ac:dyDescent="0.3">
      <c r="B4" s="12" t="s">
        <v>78</v>
      </c>
      <c r="C4" s="15">
        <f>SUM(Tabela2[Depósito Reservado])</f>
        <v>411</v>
      </c>
    </row>
    <row r="5" spans="2:3" x14ac:dyDescent="0.3">
      <c r="B5" s="12" t="s">
        <v>79</v>
      </c>
      <c r="C5" s="15">
        <v>1000</v>
      </c>
    </row>
    <row r="7" spans="2:3" x14ac:dyDescent="0.3">
      <c r="B7" t="s">
        <v>76</v>
      </c>
      <c r="C7" s="15" t="s">
        <v>77</v>
      </c>
    </row>
    <row r="8" spans="2:3" x14ac:dyDescent="0.3">
      <c r="B8" s="13">
        <v>45670</v>
      </c>
      <c r="C8" s="15">
        <v>50</v>
      </c>
    </row>
    <row r="9" spans="2:3" x14ac:dyDescent="0.3">
      <c r="B9" s="13">
        <v>45671</v>
      </c>
      <c r="C9" s="15">
        <v>36</v>
      </c>
    </row>
    <row r="10" spans="2:3" x14ac:dyDescent="0.3">
      <c r="B10" s="13">
        <v>45672</v>
      </c>
      <c r="C10" s="15">
        <v>54</v>
      </c>
    </row>
    <row r="11" spans="2:3" x14ac:dyDescent="0.3">
      <c r="B11" s="13">
        <v>45673</v>
      </c>
      <c r="C11" s="15">
        <v>47</v>
      </c>
    </row>
    <row r="12" spans="2:3" x14ac:dyDescent="0.3">
      <c r="B12" s="13">
        <v>45674</v>
      </c>
      <c r="C12" s="15">
        <v>22</v>
      </c>
    </row>
    <row r="13" spans="2:3" x14ac:dyDescent="0.3">
      <c r="B13" s="13">
        <v>45675</v>
      </c>
      <c r="C13" s="15">
        <v>65</v>
      </c>
    </row>
    <row r="14" spans="2:3" x14ac:dyDescent="0.3">
      <c r="B14" s="13">
        <v>45676</v>
      </c>
      <c r="C14" s="15">
        <v>25</v>
      </c>
    </row>
    <row r="15" spans="2:3" x14ac:dyDescent="0.3">
      <c r="B15" s="13">
        <v>45677</v>
      </c>
      <c r="C15" s="15">
        <v>26</v>
      </c>
    </row>
    <row r="16" spans="2:3" x14ac:dyDescent="0.3">
      <c r="B16" s="13">
        <v>45678</v>
      </c>
      <c r="C16" s="15">
        <v>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Controller</vt:lpstr>
      <vt:lpstr>Dashboard</vt:lpstr>
      <vt:lpstr>Caixinha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Monaliza Collaço</cp:lastModifiedBy>
  <cp:revision/>
  <dcterms:created xsi:type="dcterms:W3CDTF">2015-06-05T18:19:34Z</dcterms:created>
  <dcterms:modified xsi:type="dcterms:W3CDTF">2025-01-13T19:52:02Z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